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Quote" sheetId="1" state="visible" r:id="rId3"/>
  </sheets>
  <definedNames>
    <definedName function="false" hidden="false" localSheetId="0" name="_xlnm.Print_Area" vbProcedure="false">'Sales Quote'!$A$1:$G$43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<sst xmlns="http://schemas.openxmlformats.org/spreadsheetml/2006/main" count="45" uniqueCount="43">
  <si>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QUOTE</t>
  </si>
  <si>
    <r>
      <rPr>
        <sz val="12"/>
        <rFont val="Garamond"/>
        <family val="1"/>
        <charset val="1"/>
      </rPr>
      <t xml:space="preserve">   </t>
    </r>
    <r>
      <rPr>
        <b val="true"/>
        <sz val="12"/>
        <rFont val="Garamond"/>
        <family val="1"/>
        <charset val="1"/>
      </rPr>
      <t xml:space="preserve">Advanced Medical Supply, Inc.</t>
    </r>
  </si>
  <si>
    <t xml:space="preserve">3322 N Milwaukee Avenue</t>
  </si>
  <si>
    <t xml:space="preserve">INVOICE NO.</t>
  </si>
  <si>
    <t xml:space="preserve">Chicago, IL 60641</t>
  </si>
  <si>
    <t xml:space="preserve">DATE</t>
  </si>
  <si>
    <t xml:space="preserve">Ph: (773) 205-6993 Fax: (773) 205-6994</t>
  </si>
  <si>
    <t xml:space="preserve">CUSTOMER ID</t>
  </si>
  <si>
    <t xml:space="preserve">    info@advancedmedicalsupply.net</t>
  </si>
  <si>
    <t xml:space="preserve">EXPIRATION DATE</t>
  </si>
  <si>
    <t xml:space="preserve">To:</t>
  </si>
  <si>
    <t xml:space="preserve"> </t>
  </si>
  <si>
    <t xml:space="preserve">Herrera, Francisco</t>
  </si>
  <si>
    <t xml:space="preserve">DOB: 08/14/1987</t>
  </si>
  <si>
    <t xml:space="preserve">Address: 4235 S Richmond St</t>
  </si>
  <si>
    <t xml:space="preserve">Chicago IL 60632</t>
  </si>
  <si>
    <t xml:space="preserve">SALESPERSON</t>
  </si>
  <si>
    <t xml:space="preserve">JOB</t>
  </si>
  <si>
    <t xml:space="preserve">SHIPPING 
METHOD</t>
  </si>
  <si>
    <t xml:space="preserve">SHIPPING 
TERMS</t>
  </si>
  <si>
    <t xml:space="preserve">DELIVERY 
DATE</t>
  </si>
  <si>
    <t xml:space="preserve">PAYMENT 
TERMS</t>
  </si>
  <si>
    <t xml:space="preserve">DUE DATE</t>
  </si>
  <si>
    <t xml:space="preserve">Alex U.</t>
  </si>
  <si>
    <t xml:space="preserve">Due on receipt</t>
  </si>
  <si>
    <t xml:space="preserve">QTY</t>
  </si>
  <si>
    <t xml:space="preserve">DESCRIPTION</t>
  </si>
  <si>
    <t xml:space="preserve">UNIT PRICE</t>
  </si>
  <si>
    <t xml:space="preserve">DISCOUNT</t>
  </si>
  <si>
    <t xml:space="preserve">LINE TOTAL</t>
  </si>
  <si>
    <t xml:space="preserve">Bariatric Full-Electric Hospital bed Package</t>
  </si>
  <si>
    <t xml:space="preserve">Bariatric Half size rails</t>
  </si>
  <si>
    <t xml:space="preserve">included </t>
  </si>
  <si>
    <t xml:space="preserve">Premium Bariatric Foam Mattress, 42" x 84" x 6" </t>
  </si>
  <si>
    <t xml:space="preserve">Extra Duty Manual Wheelchair 24”</t>
  </si>
  <si>
    <t xml:space="preserve">Bariatric Gel Overlay Mattress</t>
  </si>
  <si>
    <t xml:space="preserve">Hydraulic manual patient lift </t>
  </si>
  <si>
    <t xml:space="preserve">Sling with straps</t>
  </si>
  <si>
    <t xml:space="preserve">TOTAL DISCOUNT</t>
  </si>
  <si>
    <t xml:space="preserve">SUBTOTAL</t>
  </si>
  <si>
    <t xml:space="preserve">SALES TAX   </t>
  </si>
  <si>
    <t xml:space="preserve">TOTAL</t>
  </si>
  <si>
    <t xml:space="preserve">THANK YOU FOR YOUR BUSINESS!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</si>
</sst>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-409]mmmm\ d&quot;, &quot;yyyy;@"/>
    <numFmt numFmtId="166" formatCode="d\-mmm\-yy"/>
    <numFmt numFmtId="167" formatCode="m/d/yy;@"/>
    <numFmt numFmtId="168" formatCode="0"/>
    <numFmt numFmtId="169" formatCode="\$#,##0.00_);[RED]&quot;($&quot;#,##0.00\)"/>
    <numFmt numFmtId="170" formatCode="_(\$* #,##0.00_);_(\$* \(#,##0.00\);_(\$* \-??_);_(@_)"/>
    <numFmt numFmtId="171" formatCode="\$#,##0.00"/>
    <numFmt numFmtId="172" formatCode="_(* #,##0.00_);_(* \(#,##0.00\);_(* \-??_);_(@_)"/>
    <numFmt numFmtId="173" formatCode="0.00"/>
    <numFmt numFmtId="174" formatCode="0.00%"/>
  </numFmts>
  <fonts count="2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aramond"/>
      <family val="1"/>
      <charset val="1"/>
    </font>
    <font>
      <i val="true"/>
      <sz val="9"/>
      <name val="Garamond"/>
      <family val="1"/>
      <charset val="1"/>
    </font>
    <font>
      <sz val="38"/>
      <color rgb="FFC0C0C0"/>
      <name val="Garamond"/>
      <family val="1"/>
      <charset val="1"/>
    </font>
    <font>
      <b val="true"/>
      <sz val="11"/>
      <name val="Garamond"/>
      <family val="1"/>
      <charset val="1"/>
    </font>
    <font>
      <sz val="12"/>
      <name val="Garamond"/>
      <family val="1"/>
      <charset val="1"/>
    </font>
    <font>
      <b val="true"/>
      <sz val="12"/>
      <name val="Garamond"/>
      <family val="1"/>
      <charset val="1"/>
    </font>
    <font>
      <sz val="8"/>
      <name val="Garamond"/>
      <family val="1"/>
      <charset val="1"/>
    </font>
    <font>
      <sz val="8"/>
      <color rgb="FF969696"/>
      <name val="Garamond"/>
      <family val="1"/>
      <charset val="1"/>
    </font>
    <font>
      <b val="true"/>
      <sz val="8"/>
      <name val="Garamond"/>
      <family val="1"/>
      <charset val="1"/>
    </font>
    <font>
      <sz val="8"/>
      <color rgb="FF000000"/>
      <name val="Garamond"/>
      <family val="1"/>
      <charset val="1"/>
    </font>
    <font>
      <sz val="8"/>
      <name val="Garamond"/>
      <family val="1"/>
    </font>
    <font>
      <sz val="8"/>
      <name val="Times New Roman"/>
      <family val="1"/>
    </font>
    <font>
      <i val="true"/>
      <sz val="8"/>
      <name val="Garamond"/>
      <family val="1"/>
      <charset val="1"/>
    </font>
    <font>
      <b val="true"/>
      <sz val="9"/>
      <name val="Garamond"/>
      <family val="1"/>
      <charset val="1"/>
    </font>
    <font>
      <b val="true"/>
      <sz val="10"/>
      <name val="Garamond"/>
      <family val="1"/>
      <charset val="1"/>
    </font>
    <font>
      <sz val="9"/>
      <name val="Garamond"/>
      <family val="1"/>
      <charset val="1"/>
    </font>
    <font>
      <b val="true"/>
      <i val="true"/>
      <sz val="10"/>
      <color rgb="FF969696"/>
      <name val="Garamond"/>
      <family val="1"/>
      <charset val="1"/>
    </font>
    <font>
      <sz val="10"/>
      <color rgb="FF969696"/>
      <name val="Garamond"/>
      <family val="1"/>
      <charset val="1"/>
    </font>
    <font>
      <b val="true"/>
      <sz val="10"/>
      <color rgb="FFE4EAF4"/>
      <name val="Garamond"/>
      <family val="1"/>
      <charset val="1"/>
    </font>
    <font>
      <sz val="6"/>
      <color rgb="FF000000"/>
      <name val="Trebuchet MS"/>
      <family val="0"/>
    </font>
    <font>
      <sz val="6"/>
      <color rgb="FF000000"/>
      <name val="Times New Roman"/>
      <family val="0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4EAF4"/>
      </patternFill>
    </fill>
    <fill>
      <patternFill patternType="solid">
        <fgColor rgb="FFECECEC"/>
        <bgColor rgb="FFE4EAF4"/>
      </patternFill>
    </fill>
    <fill>
      <patternFill patternType="solid">
        <fgColor rgb="FFF3F3F3"/>
        <bgColor rgb="FFECECEC"/>
      </patternFill>
    </fill>
    <fill>
      <patternFill patternType="solid">
        <fgColor rgb="FFFFFFFF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2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4EA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19080</xdr:colOff>
      <xdr:row>37</xdr:row>
      <xdr:rowOff>3240</xdr:rowOff>
    </xdr:from>
    <xdr:to>
      <xdr:col>4</xdr:col>
      <xdr:colOff>472680</xdr:colOff>
      <xdr:row>42</xdr:row>
      <xdr:rowOff>40320</xdr:rowOff>
    </xdr:to>
    <xdr:sp>
      <xdr:nvSpPr>
        <xdr:cNvPr id="0" name="Text Box 18"/>
        <xdr:cNvSpPr/>
      </xdr:nvSpPr>
      <xdr:spPr>
        <a:xfrm>
          <a:off x="19080" y="7601040"/>
          <a:ext cx="4241520" cy="10371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 upright="1">
          <a:noAutofit/>
        </a:bodyPr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Quotation prepared by:  ____________________________________________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This is a quotation on the goods named, subject to the conditions noted below: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(Describe any conditions pertaining to these prices and any additional terms of the agreement.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You may want to include contingencies that will affect the quotation.)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To accept this quotation, sign here and return:  _______________________________________________</a:t>
          </a:r>
          <a:endParaRPr b="0" lang="en-US" sz="6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true" showOutlineSymbols="true" defaultGridColor="true" view="normal" topLeftCell="A4" colorId="64" zoomScale="130" zoomScaleNormal="130" zoomScalePageLayoutView="100" workbookViewId="0">
      <selection pane="topLeft" activeCell="I33" activeCellId="0" sqref="I33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1" width="12.71"/>
    <col collapsed="false" customWidth="true" hidden="false" outlineLevel="0" max="3" min="3" style="1" width="13.15"/>
    <col collapsed="false" customWidth="true" hidden="false" outlineLevel="0" max="4" min="4" style="1" width="12.42"/>
    <col collapsed="false" customWidth="true" hidden="false" outlineLevel="0" max="6" min="5" style="1" width="12.71"/>
    <col collapsed="false" customWidth="true" hidden="false" outlineLevel="0" max="7" min="7" style="1" width="9.67"/>
    <col collapsed="false" customWidth="false" hidden="false" outlineLevel="0" max="16384" min="8" style="1" width="9.14"/>
  </cols>
  <sheetData>
    <row r="1" customFormat="false" ht="58.5" hidden="false" customHeight="true" outlineLevel="0" collapsed="false">
      <c r="A1" s="2"/>
      <c r="B1" s="3"/>
      <c r="C1" s="3"/>
      <c r="D1" s="4" t="s">
        <v>0</v>
      </c>
      <c r="E1" s="4"/>
      <c r="F1" s="4"/>
      <c r="G1" s="4"/>
    </row>
    <row r="2" customFormat="false" ht="16.5" hidden="false" customHeight="true" outlineLevel="0" collapsed="false">
      <c r="A2" s="5"/>
      <c r="B2" s="5"/>
      <c r="C2" s="6"/>
      <c r="D2" s="6"/>
      <c r="E2" s="6"/>
      <c r="F2" s="6"/>
    </row>
    <row r="3" customFormat="false" ht="16.5" hidden="false" customHeight="true" outlineLevel="0" collapsed="false">
      <c r="A3" s="7" t="s">
        <v>1</v>
      </c>
      <c r="B3" s="7"/>
      <c r="C3" s="7"/>
      <c r="D3" s="7"/>
    </row>
    <row r="4" s="9" customFormat="true" ht="8.25" hidden="false" customHeight="true" outlineLevel="0" collapsed="false">
      <c r="A4" s="8"/>
      <c r="B4" s="8"/>
      <c r="C4" s="8"/>
      <c r="D4" s="8"/>
      <c r="E4" s="8"/>
      <c r="F4" s="8"/>
    </row>
    <row r="5" s="9" customFormat="true" ht="13.5" hidden="false" customHeight="true" outlineLevel="0" collapsed="false">
      <c r="A5" s="10" t="s">
        <v>2</v>
      </c>
      <c r="B5" s="10"/>
      <c r="C5" s="11"/>
      <c r="D5" s="12" t="s">
        <v>3</v>
      </c>
      <c r="E5" s="10"/>
      <c r="F5" s="10"/>
    </row>
    <row r="6" s="9" customFormat="true" ht="13.5" hidden="false" customHeight="true" outlineLevel="0" collapsed="false">
      <c r="A6" s="10" t="s">
        <v>4</v>
      </c>
      <c r="B6" s="10"/>
      <c r="C6" s="11"/>
      <c r="D6" s="12" t="s">
        <v>5</v>
      </c>
      <c r="E6" s="13" t="n">
        <f aca="true">TODAY()</f>
        <v>45653</v>
      </c>
      <c r="F6" s="13"/>
    </row>
    <row r="7" s="9" customFormat="true" ht="13.5" hidden="false" customHeight="true" outlineLevel="0" collapsed="false">
      <c r="A7" s="10" t="s">
        <v>6</v>
      </c>
      <c r="B7" s="10"/>
      <c r="C7" s="14" t="s">
        <v>7</v>
      </c>
      <c r="D7" s="14"/>
      <c r="E7" s="10"/>
      <c r="F7" s="10"/>
    </row>
    <row r="8" s="9" customFormat="true" ht="13.5" hidden="false" customHeight="true" outlineLevel="0" collapsed="false">
      <c r="A8" s="15" t="s">
        <v>8</v>
      </c>
      <c r="B8" s="15"/>
      <c r="C8" s="16" t="s">
        <v>9</v>
      </c>
      <c r="D8" s="16"/>
      <c r="E8" s="17" t="n">
        <v>45657</v>
      </c>
      <c r="F8" s="18"/>
    </row>
    <row r="9" s="9" customFormat="true" ht="13.5" hidden="false" customHeight="true" outlineLevel="0" collapsed="false">
      <c r="A9" s="15"/>
      <c r="B9" s="15"/>
      <c r="C9" s="15"/>
      <c r="D9" s="15"/>
      <c r="E9" s="15"/>
      <c r="F9" s="15"/>
    </row>
    <row r="10" s="9" customFormat="true" ht="13.5" hidden="false" customHeight="true" outlineLevel="0" collapsed="false">
      <c r="A10" s="19" t="s">
        <v>10</v>
      </c>
      <c r="B10" s="8"/>
      <c r="C10" s="8"/>
      <c r="D10" s="20"/>
      <c r="E10" s="10"/>
      <c r="F10" s="10"/>
    </row>
    <row r="11" s="9" customFormat="true" ht="13.5" hidden="false" customHeight="true" outlineLevel="0" collapsed="false">
      <c r="A11" s="21" t="s">
        <v>11</v>
      </c>
      <c r="B11" s="22" t="s">
        <v>12</v>
      </c>
      <c r="C11" s="22"/>
      <c r="E11" s="10"/>
      <c r="F11" s="10"/>
    </row>
    <row r="12" s="9" customFormat="true" ht="13.5" hidden="false" customHeight="true" outlineLevel="0" collapsed="false">
      <c r="A12" s="23"/>
      <c r="B12" s="8" t="s">
        <v>13</v>
      </c>
      <c r="C12" s="8"/>
      <c r="E12" s="10"/>
      <c r="F12" s="10"/>
    </row>
    <row r="13" s="9" customFormat="true" ht="13.5" hidden="false" customHeight="true" outlineLevel="0" collapsed="false">
      <c r="B13" s="8" t="s">
        <v>14</v>
      </c>
      <c r="C13" s="8"/>
      <c r="E13" s="10"/>
      <c r="F13" s="10"/>
    </row>
    <row r="14" s="9" customFormat="true" ht="13.5" hidden="false" customHeight="true" outlineLevel="0" collapsed="false">
      <c r="B14" s="8" t="s">
        <v>15</v>
      </c>
      <c r="C14" s="8"/>
      <c r="E14" s="10"/>
      <c r="F14" s="10"/>
    </row>
    <row r="15" s="9" customFormat="true" ht="13.5" hidden="false" customHeight="true" outlineLevel="0" collapsed="false">
      <c r="A15" s="15"/>
      <c r="B15" s="15"/>
      <c r="C15" s="15"/>
      <c r="D15" s="15"/>
      <c r="E15" s="15"/>
      <c r="F15" s="15"/>
    </row>
    <row r="16" customFormat="false" ht="19.25" hidden="false" customHeight="false" outlineLevel="0" collapsed="false">
      <c r="A16" s="24" t="s">
        <v>16</v>
      </c>
      <c r="B16" s="24" t="s">
        <v>17</v>
      </c>
      <c r="C16" s="25" t="s">
        <v>18</v>
      </c>
      <c r="D16" s="25" t="s">
        <v>19</v>
      </c>
      <c r="E16" s="25" t="s">
        <v>20</v>
      </c>
      <c r="F16" s="25" t="s">
        <v>21</v>
      </c>
      <c r="G16" s="24" t="s">
        <v>22</v>
      </c>
    </row>
    <row r="17" customFormat="false" ht="15.75" hidden="false" customHeight="true" outlineLevel="0" collapsed="false">
      <c r="A17" s="26" t="s">
        <v>23</v>
      </c>
      <c r="B17" s="26"/>
      <c r="C17" s="26"/>
      <c r="D17" s="26"/>
      <c r="E17" s="27"/>
      <c r="F17" s="26" t="s">
        <v>24</v>
      </c>
      <c r="G17" s="27"/>
    </row>
    <row r="18" customFormat="false" ht="15.75" hidden="false" customHeight="true" outlineLevel="0" collapsed="false">
      <c r="A18" s="28"/>
      <c r="B18" s="28"/>
      <c r="C18" s="28"/>
      <c r="D18" s="28"/>
      <c r="E18" s="28"/>
      <c r="F18" s="28"/>
      <c r="G18" s="28"/>
    </row>
    <row r="19" customFormat="false" ht="15.75" hidden="false" customHeight="true" outlineLevel="0" collapsed="false">
      <c r="A19" s="29" t="s">
        <v>25</v>
      </c>
      <c r="B19" s="24" t="s">
        <v>26</v>
      </c>
      <c r="C19" s="24"/>
      <c r="D19" s="24"/>
      <c r="E19" s="24" t="s">
        <v>27</v>
      </c>
      <c r="F19" s="24" t="s">
        <v>28</v>
      </c>
      <c r="G19" s="24" t="s">
        <v>29</v>
      </c>
    </row>
    <row r="20" customFormat="false" ht="15.75" hidden="false" customHeight="true" outlineLevel="0" collapsed="false">
      <c r="A20" s="30" t="n">
        <v>1</v>
      </c>
      <c r="B20" s="26" t="s">
        <v>30</v>
      </c>
      <c r="C20" s="26"/>
      <c r="D20" s="26"/>
      <c r="E20" s="31" t="n">
        <v>1906</v>
      </c>
      <c r="F20" s="32"/>
      <c r="G20" s="33" t="n">
        <v>1906</v>
      </c>
    </row>
    <row r="21" customFormat="false" ht="15.75" hidden="false" customHeight="true" outlineLevel="0" collapsed="false">
      <c r="A21" s="34" t="n">
        <v>1</v>
      </c>
      <c r="B21" s="35" t="s">
        <v>31</v>
      </c>
      <c r="C21" s="35"/>
      <c r="D21" s="35"/>
      <c r="E21" s="36" t="s">
        <v>32</v>
      </c>
      <c r="F21" s="37"/>
      <c r="G21" s="38"/>
    </row>
    <row r="22" customFormat="false" ht="15.75" hidden="false" customHeight="true" outlineLevel="0" collapsed="false">
      <c r="A22" s="30" t="n">
        <v>1</v>
      </c>
      <c r="B22" s="39" t="s">
        <v>33</v>
      </c>
      <c r="C22" s="39"/>
      <c r="D22" s="39"/>
      <c r="E22" s="40" t="s">
        <v>32</v>
      </c>
      <c r="F22" s="32"/>
      <c r="G22" s="41"/>
    </row>
    <row r="23" customFormat="false" ht="15.75" hidden="false" customHeight="true" outlineLevel="0" collapsed="false">
      <c r="A23" s="34"/>
      <c r="B23" s="35"/>
      <c r="C23" s="35"/>
      <c r="D23" s="35"/>
      <c r="E23" s="42"/>
      <c r="F23" s="37"/>
      <c r="G23" s="41"/>
    </row>
    <row r="24" customFormat="false" ht="15.75" hidden="false" customHeight="true" outlineLevel="0" collapsed="false">
      <c r="A24" s="30" t="n">
        <v>1</v>
      </c>
      <c r="B24" s="26" t="s">
        <v>34</v>
      </c>
      <c r="C24" s="26"/>
      <c r="D24" s="26"/>
      <c r="E24" s="43" t="n">
        <v>500</v>
      </c>
      <c r="F24" s="32"/>
      <c r="G24" s="41" t="n">
        <v>500</v>
      </c>
    </row>
    <row r="25" customFormat="false" ht="15.75" hidden="false" customHeight="true" outlineLevel="0" collapsed="false">
      <c r="A25" s="34"/>
      <c r="B25" s="35"/>
      <c r="C25" s="35"/>
      <c r="D25" s="35"/>
      <c r="E25" s="42"/>
      <c r="F25" s="37"/>
      <c r="G25" s="41"/>
    </row>
    <row r="26" customFormat="false" ht="15.75" hidden="false" customHeight="true" outlineLevel="0" collapsed="false">
      <c r="A26" s="30" t="n">
        <v>1</v>
      </c>
      <c r="B26" s="26" t="s">
        <v>35</v>
      </c>
      <c r="C26" s="26"/>
      <c r="D26" s="26"/>
      <c r="E26" s="43" t="n">
        <v>260</v>
      </c>
      <c r="F26" s="32"/>
      <c r="G26" s="41" t="n">
        <v>260</v>
      </c>
    </row>
    <row r="27" customFormat="false" ht="15.75" hidden="false" customHeight="true" outlineLevel="0" collapsed="false">
      <c r="A27" s="34"/>
      <c r="B27" s="35"/>
      <c r="C27" s="35"/>
      <c r="D27" s="35"/>
      <c r="E27" s="42"/>
      <c r="F27" s="37"/>
      <c r="G27" s="41"/>
    </row>
    <row r="28" customFormat="false" ht="15.75" hidden="false" customHeight="true" outlineLevel="0" collapsed="false">
      <c r="A28" s="30" t="n">
        <v>1</v>
      </c>
      <c r="B28" s="26" t="s">
        <v>36</v>
      </c>
      <c r="C28" s="26"/>
      <c r="D28" s="26"/>
      <c r="E28" s="43" t="n">
        <v>700</v>
      </c>
      <c r="F28" s="32"/>
      <c r="G28" s="41" t="n">
        <v>700</v>
      </c>
    </row>
    <row r="29" customFormat="false" ht="15.75" hidden="false" customHeight="true" outlineLevel="0" collapsed="false">
      <c r="A29" s="34" t="n">
        <v>1</v>
      </c>
      <c r="B29" s="44" t="s">
        <v>37</v>
      </c>
      <c r="C29" s="44"/>
      <c r="D29" s="44"/>
      <c r="E29" s="42" t="s">
        <v>32</v>
      </c>
      <c r="F29" s="37"/>
      <c r="G29" s="41" t="n">
        <v>0</v>
      </c>
    </row>
    <row r="30" customFormat="false" ht="15.75" hidden="false" customHeight="true" outlineLevel="0" collapsed="false">
      <c r="A30" s="30"/>
      <c r="B30" s="45"/>
      <c r="C30" s="45"/>
      <c r="D30" s="45"/>
      <c r="E30" s="43"/>
      <c r="F30" s="32"/>
      <c r="G30" s="41" t="str">
        <f aca="false">IF(SUM(A30)&gt;0,SUM((A30*E30)-F30),"")</f>
        <v/>
      </c>
    </row>
    <row r="31" customFormat="false" ht="15.75" hidden="false" customHeight="true" outlineLevel="0" collapsed="false">
      <c r="A31" s="34"/>
      <c r="B31" s="44"/>
      <c r="C31" s="44"/>
      <c r="D31" s="44"/>
      <c r="E31" s="42"/>
      <c r="F31" s="37"/>
      <c r="G31" s="41" t="str">
        <f aca="false">IF(SUM(A31)&gt;0,SUM((A31*E31)-F31),"")</f>
        <v/>
      </c>
    </row>
    <row r="32" customFormat="false" ht="15.75" hidden="false" customHeight="true" outlineLevel="0" collapsed="false">
      <c r="A32" s="30"/>
      <c r="B32" s="45"/>
      <c r="C32" s="45"/>
      <c r="D32" s="45"/>
      <c r="E32" s="43"/>
      <c r="F32" s="32"/>
      <c r="G32" s="41" t="str">
        <f aca="false">IF(SUM(A32)&gt;0,SUM((A32*E32)-F32),"")</f>
        <v/>
      </c>
    </row>
    <row r="33" customFormat="false" ht="15.75" hidden="false" customHeight="true" outlineLevel="0" collapsed="false">
      <c r="A33" s="34"/>
      <c r="B33" s="44"/>
      <c r="C33" s="44"/>
      <c r="D33" s="44"/>
      <c r="E33" s="42"/>
      <c r="F33" s="37"/>
      <c r="G33" s="41" t="str">
        <f aca="false">IF(SUM(A33)&gt;0,SUM((A33*E33)-F33),"")</f>
        <v/>
      </c>
    </row>
    <row r="34" customFormat="false" ht="15.75" hidden="false" customHeight="true" outlineLevel="0" collapsed="false">
      <c r="A34" s="30"/>
      <c r="B34" s="45"/>
      <c r="C34" s="45"/>
      <c r="D34" s="45"/>
      <c r="E34" s="43"/>
      <c r="F34" s="32"/>
      <c r="G34" s="41" t="str">
        <f aca="false">IF(SUM(A34)&gt;0,SUM((A34*E34)-F34),"")</f>
        <v/>
      </c>
    </row>
    <row r="35" customFormat="false" ht="15.75" hidden="false" customHeight="true" outlineLevel="0" collapsed="false">
      <c r="A35" s="34"/>
      <c r="B35" s="44"/>
      <c r="C35" s="44"/>
      <c r="D35" s="44"/>
      <c r="E35" s="42"/>
      <c r="F35" s="37"/>
      <c r="G35" s="41" t="str">
        <f aca="false">IF(SUM(A35)&gt;0,SUM((A35*E35)-F35),"")</f>
        <v/>
      </c>
    </row>
    <row r="36" customFormat="false" ht="15.75" hidden="false" customHeight="true" outlineLevel="0" collapsed="false">
      <c r="A36" s="30"/>
      <c r="B36" s="45"/>
      <c r="C36" s="45"/>
      <c r="D36" s="45"/>
      <c r="E36" s="43"/>
      <c r="F36" s="32"/>
      <c r="G36" s="41" t="str">
        <f aca="false">IF(SUM(A36)&gt;0,SUM((A36*E36)-F36),"")</f>
        <v/>
      </c>
    </row>
    <row r="37" customFormat="false" ht="15.75" hidden="false" customHeight="true" outlineLevel="0" collapsed="false">
      <c r="A37" s="46"/>
      <c r="B37" s="47"/>
      <c r="C37" s="47"/>
      <c r="D37" s="48" t="s">
        <v>38</v>
      </c>
      <c r="E37" s="48"/>
      <c r="F37" s="49" t="str">
        <f aca="false">IF(SUM(F20:F36)&gt;0,SUM(F20:F36),"")</f>
        <v/>
      </c>
      <c r="G37" s="50"/>
    </row>
    <row r="38" customFormat="false" ht="15.75" hidden="false" customHeight="true" outlineLevel="0" collapsed="false">
      <c r="A38" s="15"/>
      <c r="B38" s="15"/>
      <c r="C38" s="15"/>
      <c r="D38" s="15"/>
      <c r="E38" s="15"/>
      <c r="F38" s="16" t="s">
        <v>39</v>
      </c>
      <c r="G38" s="49" t="n">
        <f aca="false">IF(SUM(G20:G36)&gt;0,SUM(G20:G36),"")</f>
        <v>3366</v>
      </c>
    </row>
    <row r="39" customFormat="false" ht="15.75" hidden="false" customHeight="true" outlineLevel="0" collapsed="false">
      <c r="A39" s="15"/>
      <c r="B39" s="15"/>
      <c r="C39" s="15"/>
      <c r="D39" s="15"/>
      <c r="E39" s="15"/>
      <c r="F39" s="51" t="s">
        <v>40</v>
      </c>
      <c r="G39" s="52" t="n">
        <v>0.1025</v>
      </c>
    </row>
    <row r="40" customFormat="false" ht="15.75" hidden="false" customHeight="true" outlineLevel="0" collapsed="false">
      <c r="A40" s="15"/>
      <c r="B40" s="15"/>
      <c r="C40" s="15"/>
      <c r="D40" s="15"/>
      <c r="E40" s="15"/>
      <c r="F40" s="16" t="s">
        <v>41</v>
      </c>
      <c r="G40" s="53" t="n">
        <f aca="false">IF(SUM(G38)&gt;0,SUM((G38*G39)+G38),"")</f>
        <v>3711.015</v>
      </c>
    </row>
    <row r="41" customFormat="false" ht="15.75" hidden="false" customHeight="true" outlineLevel="0" collapsed="false">
      <c r="A41" s="54"/>
      <c r="B41" s="54"/>
      <c r="C41" s="54"/>
      <c r="D41" s="15"/>
      <c r="E41" s="20"/>
      <c r="F41" s="55"/>
    </row>
    <row r="42" customFormat="false" ht="15.75" hidden="false" customHeight="true" outlineLevel="0" collapsed="false">
      <c r="A42" s="56"/>
      <c r="B42" s="57"/>
      <c r="C42" s="47"/>
      <c r="D42" s="15"/>
      <c r="E42" s="20"/>
      <c r="F42" s="58" t="str">
        <f aca="false">IF(SUM(F40)&gt;0,SUM((F40*F41)+F40),"")</f>
        <v/>
      </c>
    </row>
    <row r="43" customFormat="false" ht="15.75" hidden="false" customHeight="true" outlineLevel="0" collapsed="false">
      <c r="A43" s="59" t="s">
        <v>42</v>
      </c>
      <c r="B43" s="59"/>
      <c r="C43" s="59"/>
      <c r="D43" s="59"/>
      <c r="E43" s="59"/>
      <c r="F43" s="59"/>
      <c r="G43" s="59"/>
    </row>
    <row r="44" customFormat="false" ht="15.75" hidden="false" customHeight="true" outlineLevel="0" collapsed="false">
      <c r="A44" s="60"/>
      <c r="B44" s="60"/>
      <c r="C44" s="60"/>
      <c r="D44" s="60"/>
      <c r="E44" s="60"/>
      <c r="F44" s="60"/>
    </row>
    <row r="45" customFormat="false" ht="15.75" hidden="false" customHeight="true" outlineLevel="0" collapsed="false">
      <c r="A45" s="61"/>
      <c r="B45" s="61"/>
      <c r="C45" s="61"/>
      <c r="D45" s="61"/>
      <c r="E45" s="61"/>
      <c r="F45" s="61"/>
      <c r="G45" s="61"/>
    </row>
    <row r="46" customFormat="false" ht="15.75" hidden="false" customHeight="true" outlineLevel="0" collapsed="false">
      <c r="B46" s="62"/>
      <c r="C46" s="62"/>
      <c r="D46" s="62"/>
      <c r="E46" s="62"/>
    </row>
    <row r="47" customFormat="false" ht="15.75" hidden="false" customHeight="true" outlineLevel="0" collapsed="false">
      <c r="B47" s="63"/>
      <c r="C47" s="64"/>
      <c r="D47" s="64"/>
      <c r="E47" s="64"/>
    </row>
    <row r="48" customFormat="false" ht="10.5" hidden="false" customHeight="true" outlineLevel="0" collapsed="false"/>
    <row r="49" customFormat="false" ht="12.75" hidden="false" customHeight="false" outlineLevel="0" collapsed="false">
      <c r="A49" s="65"/>
      <c r="B49" s="66"/>
      <c r="C49" s="66"/>
      <c r="D49" s="66"/>
      <c r="E49" s="66"/>
      <c r="F49" s="66"/>
    </row>
  </sheetData>
  <mergeCells count="50">
    <mergeCell ref="B1:C1"/>
    <mergeCell ref="D1:G1"/>
    <mergeCell ref="A2:B2"/>
    <mergeCell ref="C2:F2"/>
    <mergeCell ref="A3:D3"/>
    <mergeCell ref="A4:F4"/>
    <mergeCell ref="A5:B5"/>
    <mergeCell ref="E5:F5"/>
    <mergeCell ref="A6:B6"/>
    <mergeCell ref="E6:F6"/>
    <mergeCell ref="A7:B7"/>
    <mergeCell ref="C7:D7"/>
    <mergeCell ref="E7:F7"/>
    <mergeCell ref="A8:B8"/>
    <mergeCell ref="C8:D8"/>
    <mergeCell ref="A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5:F15"/>
    <mergeCell ref="A18:G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D37:E37"/>
    <mergeCell ref="A43:G43"/>
    <mergeCell ref="A45:G45"/>
    <mergeCell ref="B46:E46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LibreOffice/24.8.3.2$Windows_X86_64 LibreOffice_project/48a6bac9e7e268aeb4c3483fcf825c94556d9f92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2006-01-23T19:37:33Z</dcterms:created>
  <dc:creator>v-luannv</dc:creator>
  <dc:description/>
  <dc:language>en-US</dc:language>
  <cp:lastModifiedBy/>
  <cp:lastPrinted>2024-12-27T16:49:02Z</cp:lastPrinted>
  <dcterms:modified xsi:type="dcterms:W3CDTF">2024-12-27T16:49:09Z</dcterms:modified>
  <cp:revision>4</cp:revision>
  <dc:subject/>
  <dc:title>Sales quote (Garamond Gray design)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Author">
    <vt:lpwstr>191</vt:lpwstr>
  </property>
  <property fmtid="{D5CDD505-2E9C-101B-9397-08002B2CF9AE}" pid="3" name="APEditor">
    <vt:lpwstr>92</vt:lpwstr>
  </property>
  <property fmtid="{D5CDD505-2E9C-101B-9397-08002B2CF9AE}" pid="4" name="APTrustLevel">
    <vt:lpwstr>1.00000000000000</vt:lpwstr>
  </property>
  <property fmtid="{D5CDD505-2E9C-101B-9397-08002B2CF9AE}" pid="5" name="Applications">
    <vt:lpwstr>79;#Template 12;#182;#Office XP;#22;#Excel 2003;#184;#Office 2000;#23;#Microsoft Office Excel 2007</vt:lpwstr>
  </property>
  <property fmtid="{D5CDD505-2E9C-101B-9397-08002B2CF9AE}" pid="6" name="BugNumber">
    <vt:lpwstr>500070</vt:lpwstr>
  </property>
  <property fmtid="{D5CDD505-2E9C-101B-9397-08002B2CF9AE}" pid="7" name="Content Type">
    <vt:lpwstr>OOFile</vt:lpwstr>
  </property>
  <property fmtid="{D5CDD505-2E9C-101B-9397-08002B2CF9AE}" pid="8" name="ContentTypeId">
    <vt:lpwstr>0x0101006025706CF4CD034688BEBAE97A2E701D020200C3831ACA17D8814887A164412888521E</vt:lpwstr>
  </property>
  <property fmtid="{D5CDD505-2E9C-101B-9397-08002B2CF9AE}" pid="9" name="IsDeleted">
    <vt:lpwstr>0</vt:lpwstr>
  </property>
  <property fmtid="{D5CDD505-2E9C-101B-9397-08002B2CF9AE}" pid="10" name="IsSearchable">
    <vt:lpwstr>0</vt:lpwstr>
  </property>
  <property fmtid="{D5CDD505-2E9C-101B-9397-08002B2CF9AE}" pid="11" name="Milestone">
    <vt:lpwstr>Continuous</vt:lpwstr>
  </property>
  <property fmtid="{D5CDD505-2E9C-101B-9397-08002B2CF9AE}" pid="12" name="NumericId">
    <vt:lpwstr>-1.00000000000000</vt:lpwstr>
  </property>
  <property fmtid="{D5CDD505-2E9C-101B-9397-08002B2CF9AE}" pid="13" name="OpenTemplate">
    <vt:lpwstr>1</vt:lpwstr>
  </property>
  <property fmtid="{D5CDD505-2E9C-101B-9397-08002B2CF9AE}" pid="14" name="PrimaryImageGen">
    <vt:lpwstr>1</vt:lpwstr>
  </property>
  <property fmtid="{D5CDD505-2E9C-101B-9397-08002B2CF9AE}" pid="15" name="Provider">
    <vt:lpwstr>EY006220130</vt:lpwstr>
  </property>
  <property fmtid="{D5CDD505-2E9C-101B-9397-08002B2CF9AE}" pid="16" name="PublishStatusLookup">
    <vt:lpwstr>270209</vt:lpwstr>
  </property>
  <property fmtid="{D5CDD505-2E9C-101B-9397-08002B2CF9AE}" pid="17" name="PublishTargets">
    <vt:lpwstr>OfficeOnline</vt:lpwstr>
  </property>
  <property fmtid="{D5CDD505-2E9C-101B-9397-08002B2CF9AE}" pid="18" name="SourceTitle">
    <vt:lpwstr>Sales quote (Garamond Gray design)</vt:lpwstr>
  </property>
  <property fmtid="{D5CDD505-2E9C-101B-9397-08002B2CF9AE}" pid="19" name="TPAppVersion">
    <vt:lpwstr>11</vt:lpwstr>
  </property>
  <property fmtid="{D5CDD505-2E9C-101B-9397-08002B2CF9AE}" pid="20" name="TPApplication">
    <vt:lpwstr>Excel</vt:lpwstr>
  </property>
  <property fmtid="{D5CDD505-2E9C-101B-9397-08002B2CF9AE}" pid="21" name="TPClientViewer">
    <vt:lpwstr>Microsoft Office Excel</vt:lpwstr>
  </property>
  <property fmtid="{D5CDD505-2E9C-101B-9397-08002B2CF9AE}" pid="22" name="TPCommandLine">
    <vt:lpwstr>{XL} /t {FilePath}</vt:lpwstr>
  </property>
  <property fmtid="{D5CDD505-2E9C-101B-9397-08002B2CF9AE}" pid="23" name="TPComponent">
    <vt:lpwstr>EXCELFiles</vt:lpwstr>
  </property>
  <property fmtid="{D5CDD505-2E9C-101B-9397-08002B2CF9AE}" pid="24" name="TPFriendlyName">
    <vt:lpwstr>Sales quote (Garamond Gray design)</vt:lpwstr>
  </property>
  <property fmtid="{D5CDD505-2E9C-101B-9397-08002B2CF9AE}" pid="25" name="TPInstallLocation">
    <vt:lpwstr>{My Templates}</vt:lpwstr>
  </property>
  <property fmtid="{D5CDD505-2E9C-101B-9397-08002B2CF9AE}" pid="26" name="TPLaunchHelpLink">
    <vt:lpwstr/>
  </property>
  <property fmtid="{D5CDD505-2E9C-101B-9397-08002B2CF9AE}" pid="27" name="TPLaunchHelpLinkType">
    <vt:lpwstr>Template</vt:lpwstr>
  </property>
  <property fmtid="{D5CDD505-2E9C-101B-9397-08002B2CF9AE}" pid="28" name="TPNamespace">
    <vt:lpwstr>EXCEL</vt:lpwstr>
  </property>
  <property fmtid="{D5CDD505-2E9C-101B-9397-08002B2CF9AE}" pid="29" name="TemplateStatus">
    <vt:lpwstr>Complete</vt:lpwstr>
  </property>
  <property fmtid="{D5CDD505-2E9C-101B-9397-08002B2CF9AE}" pid="30" name="TrustLevel">
    <vt:lpwstr>Microsoft Managed Content</vt:lpwstr>
  </property>
  <property fmtid="{D5CDD505-2E9C-101B-9397-08002B2CF9AE}" pid="31" name="UACurrentWords">
    <vt:lpwstr>0</vt:lpwstr>
  </property>
  <property fmtid="{D5CDD505-2E9C-101B-9397-08002B2CF9AE}" pid="32" name="UALocRecommendation">
    <vt:lpwstr>Localize</vt:lpwstr>
  </property>
  <property fmtid="{D5CDD505-2E9C-101B-9397-08002B2CF9AE}" pid="33" name="display_urn:schemas-microsoft-com:office:office#APAuthor">
    <vt:lpwstr>REDMOND\cynvey</vt:lpwstr>
  </property>
  <property fmtid="{D5CDD505-2E9C-101B-9397-08002B2CF9AE}" pid="34" name="display_urn:schemas-microsoft-com:office:office#APEditor">
    <vt:lpwstr>REDMOND\v-luannv</vt:lpwstr>
  </property>
</Properties>
</file>