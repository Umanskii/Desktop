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Quote'!$A$1:$G$43</definedName>
  </definedNames>
  <calcPr calcId="162913"/>
</workbook>
</file>

<file path=xl/calcChain.xml><?xml version="1.0" encoding="utf-8"?>
<calcChain xmlns="http://schemas.openxmlformats.org/spreadsheetml/2006/main">
  <c r="G20" i="1" l="1"/>
  <c r="G26" i="1"/>
  <c r="G28" i="1"/>
  <c r="G29" i="1"/>
  <c r="G31" i="1"/>
  <c r="G33" i="1"/>
  <c r="G34" i="1"/>
  <c r="G35" i="1"/>
  <c r="G36" i="1"/>
  <c r="F42" i="1"/>
  <c r="E6" i="1"/>
</calcChain>
</file>

<file path=xl/sharedStrings.xml><?xml version="1.0" encoding="utf-8"?>
<sst xmlns="http://schemas.openxmlformats.org/spreadsheetml/2006/main" count="46" uniqueCount="43">
  <si>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</si>
  <si>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</si>
  <si>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</si>
  <si>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</si>
  <si>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</si>
  <si>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</si>
  <si>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</si>
  <si>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</si>
  <si>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</si>
  <si>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</si>
  <si>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</si>
  <si>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</si>
  <si>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</si>
  <si>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</si>
  <si>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</si>
  <si>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</si>
  <si>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</si>
  <si>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</si>
  <si>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Due on receipt</t>
  </si>
  <si>
    <t>EXPIRATION DATE</t>
  </si>
  <si>
    <t>TO</t>
  </si>
  <si>
    <t>QUOTE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</si>
  <si>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</si>
  <si>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</si>
  <si>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</si>
  <si>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</si>
  <si>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</si>
  <si>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</si>
  <si>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SALES TAX   </t>
  </si>
  <si>
    <t>Tubing with cannula 25"</t>
  </si>
  <si>
    <t>Tubing with cannula 4"</t>
  </si>
  <si>
    <t xml:space="preserve"> </t>
  </si>
  <si>
    <t xml:space="preserve">Oxygen Regulator </t>
  </si>
  <si>
    <t xml:space="preserve">Aleksei </t>
  </si>
  <si>
    <t>Rent Oxygen concantrator E1390</t>
  </si>
  <si>
    <t>Rent portable System including: E0431</t>
  </si>
  <si>
    <t>Portable oxygen tank carring bag</t>
  </si>
  <si>
    <t xml:space="preserve">Oxygen key </t>
  </si>
  <si>
    <t>Diposit Portable oxygen tank "M6"</t>
  </si>
  <si>
    <t>Diposit Rent Oxygen concantrator E1390</t>
  </si>
  <si>
    <t xml:space="preserve">Gas content for M6 oxygen tank </t>
  </si>
  <si>
    <t>Refill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</si>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</sst>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19" x14ac:knownFonts="1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44" fontId="7" fillId="5" borderId="1" xfId="0" applyNumberFormat="1" applyFont="1" applyFill="1" applyBorder="1" applyAlignment="1">
      <alignment vertical="center"/>
    </xf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6" fontId="6" fillId="0" borderId="1" xfId="0" applyNumberFormat="1" applyFont="1" applyFill="1" applyBorder="1" applyAlignment="1">
      <alignment vertical="center"/>
    </xf>
    <xf numFmtId="6" fontId="6" fillId="4" borderId="1" xfId="0" applyNumberFormat="1" applyFont="1" applyFill="1" applyBorder="1" applyAlignment="1">
      <alignment vertical="center"/>
    </xf>
    <xf numFmtId="6" fontId="6" fillId="5" borderId="1" xfId="0" applyNumberFormat="1" applyFont="1" applyFill="1" applyBorder="1" applyAlignment="1">
      <alignment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17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8" fontId="6" fillId="4" borderId="1" xfId="0" applyNumberFormat="1" applyFont="1" applyFill="1" applyBorder="1" applyAlignment="1">
      <alignment vertical="center"/>
    </xf>
    <xf numFmtId="8" fontId="6" fillId="0" borderId="1" xfId="0" applyNumberFormat="1" applyFont="1" applyFill="1" applyBorder="1" applyAlignment="1">
      <alignment vertical="center"/>
    </xf>
    <xf numFmtId="8" fontId="6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Quotation prepared by:  Aleksei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quotation,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showGridLines="0" tabSelected="1" zoomScale="190" zoomScaleNormal="190" workbookViewId="0">
      <selection activeCell="J39" sqref="J39"/>
    </sheetView>
  </sheetViews>
  <sheetFormatPr defaultRowHeight="12.75" x14ac:dyDescent="0.2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7" ht="58.5" customHeight="1" x14ac:dyDescent="0.7">
      <c r="A1" s="37"/>
      <c r="B1" s="77"/>
      <c r="C1" s="77"/>
      <c r="D1" s="78" t="s">
        <v>21</v>
      </c>
      <c r="E1" s="78"/>
      <c r="F1" s="78"/>
      <c r="G1" s="78"/>
    </row>
    <row r="2" spans="1:7" ht="16.5" customHeight="1" x14ac:dyDescent="0.25">
      <c r="A2" s="56"/>
      <c r="B2" s="57"/>
      <c r="C2" s="55"/>
      <c r="D2" s="55"/>
      <c r="E2" s="55"/>
      <c r="F2" s="55"/>
    </row>
    <row r="3" spans="1:7" ht="16.5" customHeight="1" x14ac:dyDescent="0.25">
      <c r="A3" s="60" t="s">
        <v>23</v>
      </c>
      <c r="B3" s="60"/>
      <c r="C3" s="60"/>
      <c r="D3" s="60"/>
      <c r="E3" s="38"/>
      <c r="F3" s="38"/>
    </row>
    <row r="4" spans="1:7" s="2" customFormat="1" ht="8.4499999999999993" customHeight="1" x14ac:dyDescent="0.2">
      <c r="A4" s="61"/>
      <c r="B4" s="61"/>
      <c r="C4" s="61"/>
      <c r="D4" s="61"/>
      <c r="E4" s="61"/>
      <c r="F4" s="61"/>
    </row>
    <row r="5" spans="1:7" s="2" customFormat="1" ht="14.1" customHeight="1" x14ac:dyDescent="0.2">
      <c r="A5" s="58" t="s">
        <v>24</v>
      </c>
      <c r="B5" s="58"/>
      <c r="C5" s="22"/>
      <c r="D5" s="23" t="s">
        <v>5</v>
      </c>
      <c r="E5" s="58">
        <v>10112575</v>
      </c>
      <c r="F5" s="58"/>
    </row>
    <row r="6" spans="1:7" s="2" customFormat="1" ht="14.1" customHeight="1" x14ac:dyDescent="0.2">
      <c r="A6" s="58" t="s">
        <v>25</v>
      </c>
      <c r="B6" s="58"/>
      <c r="C6" s="22"/>
      <c r="D6" s="23" t="s">
        <v>0</v>
      </c>
      <c r="E6" s="59">
        <f ca="1">TODAY()</f>
        <v>44846</v>
      </c>
      <c r="F6" s="59"/>
    </row>
    <row r="7" spans="1:7" s="2" customFormat="1" ht="14.1" customHeight="1" x14ac:dyDescent="0.2">
      <c r="A7" s="58" t="s">
        <v>26</v>
      </c>
      <c r="B7" s="58"/>
      <c r="C7" s="81" t="s">
        <v>2</v>
      </c>
      <c r="D7" s="81"/>
      <c r="E7" s="58"/>
      <c r="F7" s="58"/>
    </row>
    <row r="8" spans="1:7" s="2" customFormat="1" ht="14.1" customHeight="1" x14ac:dyDescent="0.2">
      <c r="A8" s="62" t="s">
        <v>27</v>
      </c>
      <c r="B8" s="62"/>
      <c r="C8" s="83" t="s">
        <v>19</v>
      </c>
      <c r="D8" s="83"/>
      <c r="E8" s="42">
        <v>44854</v>
      </c>
      <c r="F8" s="3"/>
    </row>
    <row r="9" spans="1:7" s="2" customFormat="1" ht="14.1" customHeight="1" x14ac:dyDescent="0.2">
      <c r="A9" s="82"/>
      <c r="B9" s="82"/>
      <c r="C9" s="82"/>
      <c r="D9" s="82"/>
      <c r="E9" s="82"/>
      <c r="F9" s="82"/>
    </row>
    <row r="10" spans="1:7" s="2" customFormat="1" ht="14.1" customHeight="1" x14ac:dyDescent="0.2">
      <c r="A10" s="24" t="s">
        <v>20</v>
      </c>
      <c r="B10" s="61"/>
      <c r="C10" s="61"/>
      <c r="D10" s="4"/>
      <c r="E10" s="58"/>
      <c r="F10" s="58"/>
    </row>
    <row r="11" spans="1:7" s="2" customFormat="1" ht="14.1" customHeight="1" x14ac:dyDescent="0.2">
      <c r="A11" s="5"/>
      <c r="B11" s="61"/>
      <c r="C11" s="61"/>
      <c r="E11" s="58"/>
      <c r="F11" s="58"/>
    </row>
    <row r="12" spans="1:7" s="2" customFormat="1" ht="14.1" customHeight="1" x14ac:dyDescent="0.2">
      <c r="B12" s="61"/>
      <c r="C12" s="61"/>
      <c r="E12" s="58"/>
      <c r="F12" s="58"/>
    </row>
    <row r="13" spans="1:7" s="2" customFormat="1" ht="14.1" customHeight="1" x14ac:dyDescent="0.2">
      <c r="B13" s="61"/>
      <c r="C13" s="61"/>
      <c r="E13" s="58"/>
      <c r="F13" s="58"/>
    </row>
    <row r="14" spans="1:7" s="2" customFormat="1" ht="14.1" customHeight="1" x14ac:dyDescent="0.2">
      <c r="B14" s="61"/>
      <c r="C14" s="61"/>
      <c r="E14" s="58"/>
      <c r="F14" s="58"/>
    </row>
    <row r="15" spans="1:7" s="2" customFormat="1" ht="14.1" customHeight="1" x14ac:dyDescent="0.2">
      <c r="A15" s="76"/>
      <c r="B15" s="76"/>
      <c r="C15" s="76"/>
      <c r="D15" s="76"/>
      <c r="E15" s="76"/>
      <c r="F15" s="76"/>
    </row>
    <row r="16" spans="1:7" ht="22.5" x14ac:dyDescent="0.2">
      <c r="A16" s="25" t="s">
        <v>6</v>
      </c>
      <c r="B16" s="25" t="s">
        <v>4</v>
      </c>
      <c r="C16" s="26" t="s">
        <v>7</v>
      </c>
      <c r="D16" s="26" t="s">
        <v>8</v>
      </c>
      <c r="E16" s="26" t="s">
        <v>9</v>
      </c>
      <c r="F16" s="26" t="s">
        <v>10</v>
      </c>
      <c r="G16" s="25" t="s">
        <v>11</v>
      </c>
    </row>
    <row r="17" spans="1:7" ht="15.95" customHeight="1" x14ac:dyDescent="0.2">
      <c r="A17" s="28" t="s">
        <v>33</v>
      </c>
      <c r="B17" s="28"/>
      <c r="C17" s="28"/>
      <c r="D17" s="29"/>
      <c r="E17" s="30"/>
      <c r="F17" s="28" t="s">
        <v>18</v>
      </c>
      <c r="G17" s="30"/>
    </row>
    <row r="18" spans="1:7" ht="15.95" customHeight="1" x14ac:dyDescent="0.2">
      <c r="A18" s="75"/>
      <c r="B18" s="75"/>
      <c r="C18" s="76"/>
      <c r="D18" s="76"/>
      <c r="E18" s="76"/>
      <c r="F18" s="76"/>
      <c r="G18" s="76"/>
    </row>
    <row r="19" spans="1:7" ht="15.95" customHeight="1" x14ac:dyDescent="0.2">
      <c r="A19" s="27" t="s">
        <v>12</v>
      </c>
      <c r="B19" s="70" t="s">
        <v>1</v>
      </c>
      <c r="C19" s="71"/>
      <c r="D19" s="72"/>
      <c r="E19" s="25" t="s">
        <v>3</v>
      </c>
      <c r="F19" s="25" t="s">
        <v>13</v>
      </c>
      <c r="G19" s="25" t="s">
        <v>14</v>
      </c>
    </row>
    <row r="20" spans="1:7" ht="15.95" customHeight="1" x14ac:dyDescent="0.2">
      <c r="A20" s="43">
        <v>1</v>
      </c>
      <c r="B20" s="63" t="s">
        <v>34</v>
      </c>
      <c r="C20" s="64"/>
      <c r="D20" s="65"/>
      <c r="E20" s="31">
        <v>150</v>
      </c>
      <c r="F20" s="31">
        <v>0</v>
      </c>
      <c r="G20" s="39">
        <f>IF(SUM(A20)&gt;0,SUM((A20*E20)-F20),"")</f>
        <v>150</v>
      </c>
    </row>
    <row r="21" spans="1:7" ht="15.95" customHeight="1" x14ac:dyDescent="0.2">
      <c r="A21" s="44">
        <v>1</v>
      </c>
      <c r="B21" s="67" t="s">
        <v>29</v>
      </c>
      <c r="C21" s="68"/>
      <c r="D21" s="69"/>
      <c r="E21" s="47">
        <v>6</v>
      </c>
      <c r="F21" s="32">
        <v>6</v>
      </c>
      <c r="G21" s="40">
        <v>0</v>
      </c>
    </row>
    <row r="22" spans="1:7" ht="15.95" customHeight="1" x14ac:dyDescent="0.2">
      <c r="A22" s="43">
        <v>1</v>
      </c>
      <c r="B22" s="63" t="s">
        <v>35</v>
      </c>
      <c r="C22" s="64"/>
      <c r="D22" s="65"/>
      <c r="E22" s="46">
        <v>60</v>
      </c>
      <c r="F22" s="85">
        <v>60</v>
      </c>
      <c r="G22" s="40"/>
    </row>
    <row r="23" spans="1:7" ht="15.95" customHeight="1" x14ac:dyDescent="0.2">
      <c r="A23" s="44">
        <v>1</v>
      </c>
      <c r="B23" s="67" t="s">
        <v>37</v>
      </c>
      <c r="C23" s="68"/>
      <c r="D23" s="69"/>
      <c r="E23" s="47">
        <v>15</v>
      </c>
      <c r="F23" s="84">
        <v>15</v>
      </c>
      <c r="G23" s="40">
        <v>0</v>
      </c>
    </row>
    <row r="24" spans="1:7" ht="15.95" customHeight="1" x14ac:dyDescent="0.2">
      <c r="A24" s="43">
        <v>1</v>
      </c>
      <c r="B24" s="63" t="s">
        <v>30</v>
      </c>
      <c r="C24" s="64"/>
      <c r="D24" s="65"/>
      <c r="E24" s="46">
        <v>6</v>
      </c>
      <c r="F24" s="31">
        <v>6</v>
      </c>
      <c r="G24" s="40">
        <v>0</v>
      </c>
    </row>
    <row r="25" spans="1:7" ht="15.95" customHeight="1" x14ac:dyDescent="0.2">
      <c r="A25" s="44">
        <v>1</v>
      </c>
      <c r="B25" s="67" t="s">
        <v>32</v>
      </c>
      <c r="C25" s="68"/>
      <c r="D25" s="69"/>
      <c r="E25" s="47">
        <v>150</v>
      </c>
      <c r="F25" s="84">
        <v>150</v>
      </c>
      <c r="G25" s="48" t="s">
        <v>31</v>
      </c>
    </row>
    <row r="26" spans="1:7" ht="15.95" customHeight="1" x14ac:dyDescent="0.2">
      <c r="A26" s="43">
        <v>1</v>
      </c>
      <c r="B26" s="63" t="s">
        <v>36</v>
      </c>
      <c r="C26" s="64"/>
      <c r="D26" s="65"/>
      <c r="E26" s="85">
        <v>60</v>
      </c>
      <c r="F26" s="85">
        <v>60</v>
      </c>
      <c r="G26" s="40">
        <f t="shared" ref="G26:G36" si="0">IF(SUM(A26)&gt;0,SUM((A26*E26)-F26),"")</f>
        <v>0</v>
      </c>
    </row>
    <row r="27" spans="1:7" ht="15.95" customHeight="1" x14ac:dyDescent="0.2">
      <c r="A27" s="44">
        <v>6</v>
      </c>
      <c r="B27" s="67" t="s">
        <v>40</v>
      </c>
      <c r="C27" s="68"/>
      <c r="D27" s="69"/>
      <c r="E27" s="84">
        <v>20</v>
      </c>
      <c r="F27" s="32" t="s">
        <v>41</v>
      </c>
      <c r="G27" s="86">
        <v>120</v>
      </c>
    </row>
    <row r="28" spans="1:7" ht="15.95" customHeight="1" x14ac:dyDescent="0.2">
      <c r="A28" s="43"/>
      <c r="B28" s="49"/>
      <c r="C28" s="50"/>
      <c r="D28" s="51"/>
      <c r="E28" s="33"/>
      <c r="F28" s="31"/>
      <c r="G28" s="40" t="str">
        <f t="shared" si="0"/>
        <v/>
      </c>
    </row>
    <row r="29" spans="1:7" ht="15.95" customHeight="1" x14ac:dyDescent="0.2">
      <c r="A29" s="44">
        <v>6</v>
      </c>
      <c r="B29" s="67" t="s">
        <v>38</v>
      </c>
      <c r="C29" s="68"/>
      <c r="D29" s="69"/>
      <c r="E29" s="84">
        <v>60</v>
      </c>
      <c r="F29" s="32"/>
      <c r="G29" s="40">
        <f t="shared" si="0"/>
        <v>360</v>
      </c>
    </row>
    <row r="30" spans="1:7" ht="15.95" customHeight="1" x14ac:dyDescent="0.2">
      <c r="A30" s="43">
        <v>1</v>
      </c>
      <c r="B30" s="63" t="s">
        <v>39</v>
      </c>
      <c r="C30" s="64"/>
      <c r="D30" s="65"/>
      <c r="E30" s="85">
        <v>400</v>
      </c>
      <c r="F30" s="31"/>
      <c r="G30" s="86">
        <v>400</v>
      </c>
    </row>
    <row r="31" spans="1:7" ht="15.95" customHeight="1" x14ac:dyDescent="0.2">
      <c r="A31" s="44"/>
      <c r="B31" s="52"/>
      <c r="C31" s="53"/>
      <c r="D31" s="54"/>
      <c r="E31" s="34"/>
      <c r="F31" s="32"/>
      <c r="G31" s="40" t="str">
        <f t="shared" si="0"/>
        <v/>
      </c>
    </row>
    <row r="32" spans="1:7" ht="15.95" customHeight="1" x14ac:dyDescent="0.2">
      <c r="A32" s="43"/>
      <c r="B32" s="63" t="s">
        <v>42</v>
      </c>
      <c r="C32" s="64"/>
      <c r="D32" s="65"/>
      <c r="E32" s="85">
        <v>100</v>
      </c>
      <c r="F32" s="31"/>
      <c r="G32" s="86">
        <v>100</v>
      </c>
    </row>
    <row r="33" spans="1:7" ht="15.95" customHeight="1" x14ac:dyDescent="0.2">
      <c r="A33" s="44"/>
      <c r="B33" s="52"/>
      <c r="C33" s="53"/>
      <c r="D33" s="54"/>
      <c r="E33" s="34"/>
      <c r="F33" s="32"/>
      <c r="G33" s="40" t="str">
        <f t="shared" si="0"/>
        <v/>
      </c>
    </row>
    <row r="34" spans="1:7" ht="15.95" customHeight="1" x14ac:dyDescent="0.2">
      <c r="A34" s="43"/>
      <c r="B34" s="49"/>
      <c r="C34" s="50"/>
      <c r="D34" s="51"/>
      <c r="E34" s="33"/>
      <c r="F34" s="31"/>
      <c r="G34" s="40" t="str">
        <f t="shared" si="0"/>
        <v/>
      </c>
    </row>
    <row r="35" spans="1:7" ht="15.95" customHeight="1" x14ac:dyDescent="0.2">
      <c r="A35" s="44"/>
      <c r="B35" s="52"/>
      <c r="C35" s="53"/>
      <c r="D35" s="54"/>
      <c r="E35" s="34"/>
      <c r="F35" s="32"/>
      <c r="G35" s="40" t="str">
        <f t="shared" si="0"/>
        <v/>
      </c>
    </row>
    <row r="36" spans="1:7" ht="15.95" customHeight="1" x14ac:dyDescent="0.2">
      <c r="A36" s="43"/>
      <c r="B36" s="49"/>
      <c r="C36" s="50"/>
      <c r="D36" s="51"/>
      <c r="E36" s="33"/>
      <c r="F36" s="31"/>
      <c r="G36" s="40" t="str">
        <f t="shared" si="0"/>
        <v/>
      </c>
    </row>
    <row r="37" spans="1:7" ht="15.95" customHeight="1" x14ac:dyDescent="0.2">
      <c r="A37" s="7"/>
      <c r="B37" s="8"/>
      <c r="C37" s="16"/>
      <c r="D37" s="66" t="s">
        <v>15</v>
      </c>
      <c r="E37" s="66"/>
      <c r="F37" s="39" t="s">
        <v>31</v>
      </c>
      <c r="G37" s="35"/>
    </row>
    <row r="38" spans="1:7" ht="15.95" customHeight="1" x14ac:dyDescent="0.2">
      <c r="A38" s="9"/>
      <c r="B38" s="6"/>
      <c r="C38" s="6"/>
      <c r="D38" s="6"/>
      <c r="E38" s="6"/>
      <c r="F38" s="10" t="s">
        <v>16</v>
      </c>
      <c r="G38" s="39" t="s">
        <v>31</v>
      </c>
    </row>
    <row r="39" spans="1:7" ht="15.95" customHeight="1" x14ac:dyDescent="0.2">
      <c r="A39" s="6"/>
      <c r="B39" s="6"/>
      <c r="C39" s="6"/>
      <c r="D39" s="6"/>
      <c r="E39" s="6"/>
      <c r="F39" s="11" t="s">
        <v>28</v>
      </c>
      <c r="G39" s="45" t="s">
        <v>31</v>
      </c>
    </row>
    <row r="40" spans="1:7" ht="15.95" customHeight="1" x14ac:dyDescent="0.2">
      <c r="A40" s="6"/>
      <c r="B40" s="6"/>
      <c r="C40" s="6"/>
      <c r="D40" s="6"/>
      <c r="E40" s="6"/>
      <c r="F40" s="10" t="s">
        <v>17</v>
      </c>
      <c r="G40" s="41">
        <v>1130</v>
      </c>
    </row>
    <row r="41" spans="1:7" ht="15.95" customHeight="1" x14ac:dyDescent="0.2">
      <c r="A41" s="12"/>
      <c r="B41" s="12"/>
      <c r="C41" s="12"/>
      <c r="D41" s="6"/>
      <c r="E41" s="4"/>
      <c r="F41" s="13"/>
    </row>
    <row r="42" spans="1:7" ht="15.95" customHeight="1" x14ac:dyDescent="0.2">
      <c r="A42" s="14"/>
      <c r="B42" s="15"/>
      <c r="C42" s="16"/>
      <c r="D42" s="6"/>
      <c r="E42" s="4"/>
      <c r="F42" s="17" t="str">
        <f>IF(SUM(F40)&gt;0,SUM((F40*F41)+F40),"")</f>
        <v/>
      </c>
    </row>
    <row r="43" spans="1:7" ht="15.95" customHeight="1" x14ac:dyDescent="0.2">
      <c r="A43" s="80" t="s">
        <v>22</v>
      </c>
      <c r="B43" s="80"/>
      <c r="C43" s="80"/>
      <c r="D43" s="80"/>
      <c r="E43" s="80"/>
      <c r="F43" s="80"/>
      <c r="G43" s="80"/>
    </row>
    <row r="44" spans="1:7" ht="15.95" customHeight="1" x14ac:dyDescent="0.2">
      <c r="A44" s="36"/>
      <c r="B44" s="36"/>
      <c r="C44" s="36"/>
      <c r="D44" s="36"/>
      <c r="E44" s="36"/>
      <c r="F44" s="36"/>
    </row>
    <row r="45" spans="1:7" ht="15.95" customHeight="1" x14ac:dyDescent="0.2">
      <c r="A45" s="79"/>
      <c r="B45" s="79"/>
      <c r="C45" s="79"/>
      <c r="D45" s="79"/>
      <c r="E45" s="79"/>
      <c r="F45" s="79"/>
      <c r="G45" s="79"/>
    </row>
    <row r="46" spans="1:7" ht="15.95" customHeight="1" x14ac:dyDescent="0.2">
      <c r="B46" s="73"/>
      <c r="C46" s="74"/>
      <c r="D46" s="74"/>
      <c r="E46" s="74"/>
    </row>
    <row r="47" spans="1:7" ht="15.95" customHeight="1" x14ac:dyDescent="0.2">
      <c r="B47" s="19"/>
      <c r="C47" s="20"/>
      <c r="D47" s="20"/>
      <c r="E47" s="20"/>
    </row>
    <row r="48" spans="1:7" ht="10.5" customHeight="1" x14ac:dyDescent="0.2"/>
    <row r="49" spans="1:6" x14ac:dyDescent="0.2">
      <c r="A49" s="21"/>
      <c r="B49" s="18"/>
      <c r="C49" s="18"/>
      <c r="D49" s="18"/>
      <c r="E49" s="18"/>
      <c r="F49" s="18"/>
    </row>
  </sheetData>
  <mergeCells count="50">
    <mergeCell ref="E11:F11"/>
    <mergeCell ref="E12:F12"/>
    <mergeCell ref="B46:E46"/>
    <mergeCell ref="A18:G18"/>
    <mergeCell ref="B1:C1"/>
    <mergeCell ref="D1:G1"/>
    <mergeCell ref="A45:G45"/>
    <mergeCell ref="A43:G43"/>
    <mergeCell ref="A15:F15"/>
    <mergeCell ref="B10:C10"/>
    <mergeCell ref="C7:D7"/>
    <mergeCell ref="A9:F9"/>
    <mergeCell ref="E13:F13"/>
    <mergeCell ref="E14:F14"/>
    <mergeCell ref="A6:B6"/>
    <mergeCell ref="C8:D8"/>
    <mergeCell ref="B11:C11"/>
    <mergeCell ref="B13:C13"/>
    <mergeCell ref="B14:C14"/>
    <mergeCell ref="B24:D24"/>
    <mergeCell ref="D37:E37"/>
    <mergeCell ref="B25:D25"/>
    <mergeCell ref="B26:D26"/>
    <mergeCell ref="B12:C12"/>
    <mergeCell ref="B19:D19"/>
    <mergeCell ref="B20:D20"/>
    <mergeCell ref="B21:D21"/>
    <mergeCell ref="B22:D22"/>
    <mergeCell ref="B23:D23"/>
    <mergeCell ref="B33:D33"/>
    <mergeCell ref="B34:D34"/>
    <mergeCell ref="B35:D35"/>
    <mergeCell ref="C2:F2"/>
    <mergeCell ref="A2:B2"/>
    <mergeCell ref="E10:F10"/>
    <mergeCell ref="E5:F5"/>
    <mergeCell ref="E6:F6"/>
    <mergeCell ref="E7:F7"/>
    <mergeCell ref="A5:B5"/>
    <mergeCell ref="A3:D3"/>
    <mergeCell ref="A7:B7"/>
    <mergeCell ref="A4:F4"/>
    <mergeCell ref="A8:B8"/>
    <mergeCell ref="B36:D36"/>
    <mergeCell ref="B27:D27"/>
    <mergeCell ref="B28:D28"/>
    <mergeCell ref="B29:D29"/>
    <mergeCell ref="B30:D30"/>
    <mergeCell ref="B31:D31"/>
    <mergeCell ref="B32:D32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55EF3D1-1E8F-4DEF-9CD3-5433DA5D687C}">
  <ds:schemaRefs>
    <ds:schemaRef ds:uri="145c5697-5eb5-440b-b2f1-a8273fb59250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allas computer</cp:lastModifiedBy>
  <cp:lastPrinted>2010-12-07T18:23:48Z</cp:lastPrinted>
  <dcterms:created xsi:type="dcterms:W3CDTF">2006-01-23T19:37:33Z</dcterms:created>
  <dcterms:modified xsi:type="dcterms:W3CDTF">2022-10-12T20:39:10Z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